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 Build" sheetId="3" state="visible" r:id="rId5"/>
    <sheet name="P&amp;L" sheetId="4" state="visible" r:id="rId6"/>
    <sheet name="Market" sheetId="5" state="visible" r:id="rId7"/>
    <sheet name="Unit Economics" sheetId="6" state="visible" r:id="rId8"/>
    <sheet name="Valuation" sheetId="7" state="visible" r:id="rId9"/>
    <sheet name="Scenarios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<sst xmlns="http://schemas.openxmlformats.org/spreadsheetml/2006/main" count="202" uniqueCount="182">
  <si>
    <t xml:space="preserve">CarbonOS</t>
  </si>
  <si>
    <t xml:space="preserve">Platform Financial Model — Investor Summary</t>
  </si>
  <si>
    <t xml:space="preserve">Prepared by Ashik Karim</t>
  </si>
  <si>
    <t xml:space="preserve">Confidential — June 2026</t>
  </si>
  <si>
    <t xml:space="preserve">Contents:</t>
  </si>
  <si>
    <t xml:space="preserve">  1. Assumptions — all editable drivers (blue = inputs)</t>
  </si>
  <si>
    <t xml:space="preserve">  2. Market — TAM / SAM / SOM</t>
  </si>
  <si>
    <t xml:space="preserve">  3. Revenue Build — six monetization streams</t>
  </si>
  <si>
    <t xml:space="preserve">  4. P&amp;L — 7-year projection</t>
  </si>
  <si>
    <t xml:space="preserve">  5. Unit Economics — SaaS metrics</t>
  </si>
  <si>
    <t xml:space="preserve">  6. Valuation — comps-based enterprise value</t>
  </si>
  <si>
    <t xml:space="preserve">  7. Scenarios — bear / base / bull penetration</t>
  </si>
  <si>
    <t xml:space="preserve">Headline: at 5% penetration of global carbon-project throughput,</t>
  </si>
  <si>
    <t xml:space="preserve">CarbonOS reaches ~$450M annual revenue (Year 7), ~29% EBITDA margin,</t>
  </si>
  <si>
    <t xml:space="preserve">implying a comps-based enterprise value of roughly $3–5B.</t>
  </si>
  <si>
    <t xml:space="preserve">Note: figures are illustrative model outputs, not financial advice or a</t>
  </si>
  <si>
    <t xml:space="preserve">forecast of actual results. Market data sourced on the Sources tab.</t>
  </si>
  <si>
    <t xml:space="preserve">Assumptions</t>
  </si>
  <si>
    <t xml:space="preserve">All blue cells are editable inputs. Black = calculated.</t>
  </si>
  <si>
    <t xml:space="preserve">($ in millions unless noted)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</si>
  <si>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</si>
  <si>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</si>
  <si>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</si>
  <si>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</si>
  <si>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</si>
  <si>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</si>
  <si>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</si>
  <si>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MARKET DRIVERS</t>
  </si>
  <si>
    <t xml:space="preserve">Addressable carbon throughput (Mt CO2e)</t>
  </si>
  <si>
    <t xml:space="preserve">Blended credit price ($/tCO2e)</t>
  </si>
  <si>
    <t xml:space="preserve">Global credit issuance value ($mm)</t>
  </si>
  <si>
    <t xml:space="preserve">Secondary turnover multiple (x)</t>
  </si>
  <si>
    <t xml:space="preserve">Global secondary GMV ($mm)</t>
  </si>
  <si>
    <t xml:space="preserve">PLATFORM DRIVERS</t>
  </si>
  <si>
    <t xml:space="preserve">Platform penetration (% of throughput)</t>
  </si>
  <si>
    <t xml:space="preserve">Platform credits originated (Mt)</t>
  </si>
  <si>
    <t xml:space="preserve">Platform issuance value ($mm)</t>
  </si>
  <si>
    <t xml:space="preserve">Platform exchange turns (x)</t>
  </si>
  <si>
    <t xml:space="preserve">Platform exchange GMV ($mm)</t>
  </si>
  <si>
    <t xml:space="preserve">Active developer projects (#)</t>
  </si>
  <si>
    <t xml:space="preserve">Enterprise data seats (#)</t>
  </si>
  <si>
    <t xml:space="preserve">Capital arranged ($mm)</t>
  </si>
  <si>
    <t xml:space="preserve">RATE / PRICING CONSTANTS</t>
  </si>
  <si>
    <t xml:space="preserve">SaaS ARPU per project ($/yr)</t>
  </si>
  <si>
    <t xml:space="preserve">Procore/Carta-style blended seat+project</t>
  </si>
  <si>
    <t xml:space="preserve">Issuance success fee (% of issuance value)</t>
  </si>
  <si>
    <t xml:space="preserve">vs broker/placement 2-5%</t>
  </si>
  <si>
    <t xml:space="preserve">Exchange take rate (% of GMV)</t>
  </si>
  <si>
    <t xml:space="preserve">vs broker 10-20%; ServiceTitan pmts 1.17%</t>
  </si>
  <si>
    <t xml:space="preserve">Financing facilitation fee (% of capital)</t>
  </si>
  <si>
    <t xml:space="preserve">vs IB placement 1-3%</t>
  </si>
  <si>
    <t xml:space="preserve">Data seat ARPU ($/yr)</t>
  </si>
  <si>
    <t xml:space="preserve">vs Bloomberg ~$30k; MSCI data</t>
  </si>
  <si>
    <t xml:space="preserve">Credit carry (% of issuance value)</t>
  </si>
  <si>
    <t xml:space="preserve">conservative carried participation</t>
  </si>
  <si>
    <t xml:space="preserve">COST DRIVERS</t>
  </si>
  <si>
    <t xml:space="preserve">Headcount (#)</t>
  </si>
  <si>
    <t xml:space="preserve">Loaded cost / employee ($000)</t>
  </si>
  <si>
    <t xml:space="preserve">fully-loaded incl. benefits</t>
  </si>
  <si>
    <t xml:space="preserve">Marketing &amp; programs ($mm)</t>
  </si>
  <si>
    <t xml:space="preserve">Other G&amp;A non-personnel ($mm)</t>
  </si>
  <si>
    <t xml:space="preserve">COGS (% of revenue)</t>
  </si>
  <si>
    <t xml:space="preserve">Revenue Build</t>
  </si>
  <si>
    <t xml:space="preserve">Six monetization streams. Links (green) pull from Assumptions.</t>
  </si>
  <si>
    <t xml:space="preserve">1. Developer platform SaaS</t>
  </si>
  <si>
    <t xml:space="preserve">2. Issuance / success fee</t>
  </si>
  <si>
    <t xml:space="preserve">3. Marketplace / exchange take</t>
  </si>
  <si>
    <t xml:space="preserve">4. Financing facilitation fee</t>
  </si>
  <si>
    <t xml:space="preserve">5. Data &amp; intelligence subscriptions</t>
  </si>
  <si>
    <t xml:space="preserve">6. Credit carry / participation</t>
  </si>
  <si>
    <t xml:space="preserve">Total revenue</t>
  </si>
  <si>
    <t xml:space="preserve">YoY growth</t>
  </si>
  <si>
    <t xml:space="preserve">-</t>
  </si>
  <si>
    <t xml:space="preserve">Revenue mix (% of total)</t>
  </si>
  <si>
    <t xml:space="preserve">   SaaS</t>
  </si>
  <si>
    <t xml:space="preserve">   Issuance fee</t>
  </si>
  <si>
    <t xml:space="preserve">   Exchange</t>
  </si>
  <si>
    <t xml:space="preserve">   Financing</t>
  </si>
  <si>
    <t xml:space="preserve">   Data</t>
  </si>
  <si>
    <t xml:space="preserve">   Carry</t>
  </si>
  <si>
    <t xml:space="preserve">Profit &amp; Loss</t>
  </si>
  <si>
    <t xml:space="preserve">7-year projection ($mm).</t>
  </si>
  <si>
    <t xml:space="preserve">Revenue</t>
  </si>
  <si>
    <t xml:space="preserve">Cost of revenue</t>
  </si>
  <si>
    <t xml:space="preserve">Gross profit</t>
  </si>
  <si>
    <t xml:space="preserve">   Gross margin %</t>
  </si>
  <si>
    <t xml:space="preserve">Operating expenses</t>
  </si>
  <si>
    <t xml:space="preserve">   Personnel</t>
  </si>
  <si>
    <t xml:space="preserve">   Marketing &amp; programs</t>
  </si>
  <si>
    <t xml:space="preserve">   Other G&amp;A</t>
  </si>
  <si>
    <t xml:space="preserve">Total operating expenses</t>
  </si>
  <si>
    <t xml:space="preserve">EBITDA</t>
  </si>
  <si>
    <t xml:space="preserve">   EBITDA margin %</t>
  </si>
  <si>
    <t xml:space="preserve">   Headcount (#)</t>
  </si>
  <si>
    <t xml:space="preserve">   Revenue / employee ($000)</t>
  </si>
  <si>
    <t xml:space="preserve">Market Opportunity — TAM / SAM / SOM</t>
  </si>
  <si>
    <t xml:space="preserve">Top-down sizing of the CarbonOS revenue opportunity (Year 7 / 2032 basis).</t>
  </si>
  <si>
    <t xml:space="preserve">Metric</t>
  </si>
  <si>
    <t xml:space="preserve">Value</t>
  </si>
  <si>
    <t xml:space="preserve">Basis / source</t>
  </si>
  <si>
    <t xml:space="preserve">Global primary issuance value ($mm, 2032)</t>
  </si>
  <si>
    <t xml:space="preserve">MSCI $7-35B by 2030; McKinsey &gt;$50B</t>
  </si>
  <si>
    <t xml:space="preserve">Global secondary GMV ($mm, 2032)</t>
  </si>
  <si>
    <t xml:space="preserve">~3x turnover (4-5 transfers typical)</t>
  </si>
  <si>
    <t xml:space="preserve">Capital arranged across market ($mm, 2032)</t>
  </si>
  <si>
    <t xml:space="preserve">platform capital / penetration</t>
  </si>
  <si>
    <t xml:space="preserve">TAM — platform revenue pool at 100% adoption</t>
  </si>
  <si>
    <t xml:space="preserve">Year-7 revenue / Year-7 penetration</t>
  </si>
  <si>
    <t xml:space="preserve">SAM — serviceable (developed VCM + Article 6)</t>
  </si>
  <si>
    <t xml:space="preserve">~60% of TAM serviceable near-term</t>
  </si>
  <si>
    <t xml:space="preserve">SOM — CarbonOS target at 5% penetration</t>
  </si>
  <si>
    <t xml:space="preserve">modeled Year-7 revenue</t>
  </si>
  <si>
    <t xml:space="preserve">Unit Economics — Developer SaaS</t>
  </si>
  <si>
    <t xml:space="preserve">Illustrative SaaS metrics for the developer subscription line.</t>
  </si>
  <si>
    <t xml:space="preserve">Note</t>
  </si>
  <si>
    <t xml:space="preserve">ARPU per project ($/yr)</t>
  </si>
  <si>
    <t xml:space="preserve">blended tiers</t>
  </si>
  <si>
    <t xml:space="preserve">Gross margin (steady state)</t>
  </si>
  <si>
    <t xml:space="preserve">software-heavy</t>
  </si>
  <si>
    <t xml:space="preserve">Annual gross profit per project ($)</t>
  </si>
  <si>
    <t xml:space="preserve">ARPU x GM</t>
  </si>
  <si>
    <t xml:space="preserve">Gross logo churn (annual)</t>
  </si>
  <si>
    <t xml:space="preserve">sticky workflow system of record</t>
  </si>
  <si>
    <t xml:space="preserve">Avg customer lifetime (yrs)</t>
  </si>
  <si>
    <t xml:space="preserve">1 / churn</t>
  </si>
  <si>
    <t xml:space="preserve">Lifetime value — LTV ($)</t>
  </si>
  <si>
    <t xml:space="preserve">GP x lifetime</t>
  </si>
  <si>
    <t xml:space="preserve">Customer acquisition cost — CAC ($)</t>
  </si>
  <si>
    <t xml:space="preserve">enterprise-assisted sales</t>
  </si>
  <si>
    <t xml:space="preserve">LTV / CAC (x)</t>
  </si>
  <si>
    <t xml:space="preserve">target &gt; 3.0x</t>
  </si>
  <si>
    <t xml:space="preserve">CAC payback (months)</t>
  </si>
  <si>
    <t xml:space="preserve">months of gross profit</t>
  </si>
  <si>
    <t xml:space="preserve">Net revenue retention</t>
  </si>
  <si>
    <t xml:space="preserve">expansion across engines</t>
  </si>
  <si>
    <t xml:space="preserve">Valuation — Comparable Multiples</t>
  </si>
  <si>
    <t xml:space="preserve">Enterprise value implied by vertical-SaaS + fintech comps applied to Year-7 revenue.</t>
  </si>
  <si>
    <t xml:space="preserve">Comparable</t>
  </si>
  <si>
    <t xml:space="preserve">EV/Revenue</t>
  </si>
  <si>
    <t xml:space="preserve">Reference</t>
  </si>
  <si>
    <t xml:space="preserve">Carta</t>
  </si>
  <si>
    <t xml:space="preserve">$7.4B EV / $0.5B ARR</t>
  </si>
  <si>
    <t xml:space="preserve">Procore</t>
  </si>
  <si>
    <t xml:space="preserve">~$7B EV / ~$1.1B rev</t>
  </si>
  <si>
    <t xml:space="preserve">Construction-tech median</t>
  </si>
  <si>
    <t xml:space="preserve">vertical SaaS 2026</t>
  </si>
  <si>
    <t xml:space="preserve">Vertical SaaS + embedded fintech premium</t>
  </si>
  <si>
    <t xml:space="preserve">33-60% premium (mid 45%)</t>
  </si>
  <si>
    <t xml:space="preserve">Year-7 revenue ($mm)</t>
  </si>
  <si>
    <t xml:space="preserve">Year-7 EBITDA ($mm)</t>
  </si>
  <si>
    <t xml:space="preserve">Implied Enterprise Value</t>
  </si>
  <si>
    <t xml:space="preserve">Low</t>
  </si>
  <si>
    <t xml:space="preserve">Mid</t>
  </si>
  <si>
    <t xml:space="preserve">High</t>
  </si>
  <si>
    <t xml:space="preserve">EV/Revenue multiple</t>
  </si>
  <si>
    <t xml:space="preserve">Enterprise value ($mm)</t>
  </si>
  <si>
    <t xml:space="preserve">Note: software/algorithm IP + data moat + embedded fintech support the upper range.</t>
  </si>
  <si>
    <t xml:space="preserve">Scenarios — Penetration Sensitivity (Year 7)</t>
  </si>
  <si>
    <t xml:space="preserve">Revenue and EV scale with platform penetration of global throughput.</t>
  </si>
  <si>
    <t xml:space="preserve">Scenario</t>
  </si>
  <si>
    <t xml:space="preserve">Bear</t>
  </si>
  <si>
    <t xml:space="preserve">Base</t>
  </si>
  <si>
    <t xml:space="preserve">Bull</t>
  </si>
  <si>
    <t xml:space="preserve">Penetration of throughput</t>
  </si>
  <si>
    <t xml:space="preserve">EV at 9.0x revenue ($mm)</t>
  </si>
  <si>
    <t xml:space="preserve">Sources &amp; Benchmarks</t>
  </si>
  <si>
    <t xml:space="preserve">Topic</t>
  </si>
  <si>
    <t xml:space="preserve">Voluntary carbon market size &amp; forecasts</t>
  </si>
  <si>
    <t xml:space="preserve">MSCI ($7-35B by 2030); McKinsey (&gt;$50B by 2030); BloombergNEF ($146/t removal 2030, $238/t 2050)</t>
  </si>
  <si>
    <t xml:space="preserve">Compliance carbon pricing revenue</t>
  </si>
  <si>
    <t xml:space="preserve">World Bank, State &amp; Trends of Carbon Pricing 2024 — &gt;$104B (2023)</t>
  </si>
  <si>
    <t xml:space="preserve">Retirements / issuance volumes</t>
  </si>
  <si>
    <t xml:space="preserve">Sylvera Q2-2025 snapshot — ~176M retired 2024; ~77M issued Q2-2025; Verra ~63% share</t>
  </si>
  <si>
    <t xml:space="preserve">Registry economics</t>
  </si>
  <si>
    <t xml:space="preserve">Verra Program Fee Schedule 2024 — $0.23/VCU issuance levy; $0.02 transfer/retirement; $2,500 registration review</t>
  </si>
  <si>
    <t xml:space="preserve">MRV cost share</t>
  </si>
  <si>
    <t xml:space="preserve">Industry: MRV ~20-30% of credit revenue; ~2-3 yrs to first issuance</t>
  </si>
  <si>
    <t xml:space="preserve">Comparable platforms</t>
  </si>
  <si>
    <t xml:space="preserve">Carta ($500M ARR/$7.4B); Procore (~$1.1B rev/~$7B EV); ServiceTitan payments 1.17% take</t>
  </si>
  <si>
    <t xml:space="preserve">Vertical SaaS premium</t>
  </si>
  <si>
    <t xml:space="preserve">Embedded-fintech vertical SaaS commands 33-60% valuation premium</t>
  </si>
  <si>
    <t xml:space="preserve">Figures are illustrative model outputs, not a forecast of actual results or financial advice.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</si>
</sst>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\$#,##0;&quot;($&quot;#,##0\);\-"/>
    <numFmt numFmtId="167" formatCode="0.0\x"/>
    <numFmt numFmtId="168" formatCode="0.0%;\(0.0%\);\-"/>
    <numFmt numFmtId="169" formatCode="#,##0.0"/>
    <numFmt numFmtId="170" formatCode="0.0"/>
    <numFmt numFmtId="171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3D2B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46544C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3D2B"/>
        <bgColor rgb="FF003366"/>
      </patternFill>
    </fill>
    <fill>
      <patternFill patternType="solid">
        <fgColor rgb="FFEDF3E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A6F4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F49"/>
      <rgbColor rgb="FFC0C0C0"/>
      <rgbColor rgb="FF888888"/>
      <rgbColor rgb="FF9999FF"/>
      <rgbColor rgb="FF993366"/>
      <rgbColor rgb="FFEDF3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3D2B"/>
      <rgbColor rgb="FF333300"/>
      <rgbColor rgb="FF993300"/>
      <rgbColor rgb="FF993366"/>
      <rgbColor rgb="FF333399"/>
      <rgbColor rgb="FF4654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8" customFormat="false" ht="15" hidden="false" customHeight="false" outlineLevel="0" collapsed="false">
      <c r="B8" s="5"/>
    </row>
    <row r="9" customFormat="false" ht="15" hidden="false" customHeight="false" outlineLevel="0" collapsed="false">
      <c r="B9" s="6" t="s">
        <v>4</v>
      </c>
    </row>
    <row r="10" customFormat="false" ht="15" hidden="false" customHeight="false" outlineLevel="0" collapsed="false">
      <c r="B10" s="5" t="s">
        <v>5</v>
      </c>
    </row>
    <row r="11" customFormat="false" ht="15" hidden="false" customHeight="false" outlineLevel="0" collapsed="false">
      <c r="B11" s="5" t="s">
        <v>6</v>
      </c>
    </row>
    <row r="12" customFormat="false" ht="15" hidden="false" customHeight="false" outlineLevel="0" collapsed="false">
      <c r="B12" s="5" t="s">
        <v>7</v>
      </c>
    </row>
    <row r="13" customFormat="false" ht="15" hidden="false" customHeight="false" outlineLevel="0" collapsed="false">
      <c r="B13" s="5" t="s">
        <v>8</v>
      </c>
    </row>
    <row r="14" customFormat="false" ht="15" hidden="false" customHeight="false" outlineLevel="0" collapsed="false">
      <c r="B14" s="5" t="s">
        <v>9</v>
      </c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5" t="s">
        <v>11</v>
      </c>
    </row>
    <row r="17" customFormat="false" ht="15" hidden="false" customHeight="false" outlineLevel="0" collapsed="false">
      <c r="B17" s="5"/>
    </row>
    <row r="18" customFormat="false" ht="15" hidden="false" customHeight="false" outlineLevel="0" collapsed="false">
      <c r="B18" s="5" t="s">
        <v>12</v>
      </c>
    </row>
    <row r="19" customFormat="false" ht="15" hidden="false" customHeight="false" outlineLevel="0" collapsed="false">
      <c r="B19" s="5" t="s">
        <v>13</v>
      </c>
    </row>
    <row r="20" customFormat="false" ht="15" hidden="false" customHeight="false" outlineLevel="0" collapsed="false">
      <c r="B20" s="5" t="s">
        <v>14</v>
      </c>
    </row>
    <row r="21" customFormat="false" ht="15" hidden="false" customHeight="false" outlineLevel="0" collapsed="false">
      <c r="B21" s="5"/>
    </row>
    <row r="22" customFormat="false" ht="15" hidden="false" customHeight="false" outlineLevel="0" collapsed="false">
      <c r="B22" s="5" t="s">
        <v>15</v>
      </c>
    </row>
    <row r="23" customFormat="false" ht="15" hidden="false" customHeight="false" outlineLevel="0" collapsed="false">
      <c r="B23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2"/>
    <col collapsed="false" customWidth="true" hidden="false" outlineLevel="0" max="4" min="4" style="0" width="40"/>
    <col collapsed="false" customWidth="true" hidden="false" outlineLevel="0" max="9" min="5" style="0" width="12"/>
  </cols>
  <sheetData>
    <row r="1" customFormat="false" ht="19.7" hidden="false" customHeight="false" outlineLevel="0" collapsed="false">
      <c r="A1" s="1" t="s">
        <v>17</v>
      </c>
    </row>
    <row r="2" customFormat="false" ht="15" hidden="false" customHeight="false" outlineLevel="0" collapsed="false">
      <c r="A2" s="4" t="s">
        <v>18</v>
      </c>
    </row>
    <row r="4" customFormat="false" ht="15" hidden="false" customHeight="false" outlineLevel="0" collapsed="false">
      <c r="A4" s="7" t="s">
        <v>19</v>
      </c>
      <c r="B4" s="8"/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9" t="s">
        <v>26</v>
      </c>
    </row>
    <row r="6" customFormat="false" ht="15" hidden="false" customHeight="false" outlineLevel="0" collapsed="false">
      <c r="A6" s="10" t="s">
        <v>27</v>
      </c>
      <c r="C6" s="11"/>
      <c r="D6" s="11"/>
      <c r="E6" s="11"/>
      <c r="F6" s="11"/>
      <c r="G6" s="11"/>
      <c r="H6" s="11"/>
      <c r="I6" s="11"/>
    </row>
    <row r="7" customFormat="false" ht="15" hidden="false" customHeight="false" outlineLevel="0" collapsed="false">
      <c r="A7" s="5" t="s">
        <v>28</v>
      </c>
      <c r="C7" s="12" t="n">
        <v>350</v>
      </c>
      <c r="D7" s="12" t="n">
        <v>500</v>
      </c>
      <c r="E7" s="12" t="n">
        <v>680</v>
      </c>
      <c r="F7" s="12" t="n">
        <v>860</v>
      </c>
      <c r="G7" s="12" t="n">
        <v>1010</v>
      </c>
      <c r="H7" s="12" t="n">
        <v>1150</v>
      </c>
      <c r="I7" s="12" t="n">
        <v>1300</v>
      </c>
    </row>
    <row r="8" customFormat="false" ht="15" hidden="false" customHeight="false" outlineLevel="0" collapsed="false">
      <c r="A8" s="5" t="s">
        <v>29</v>
      </c>
      <c r="C8" s="13" t="n">
        <v>18</v>
      </c>
      <c r="D8" s="13" t="n">
        <v>20</v>
      </c>
      <c r="E8" s="13" t="n">
        <v>23</v>
      </c>
      <c r="F8" s="13" t="n">
        <v>26</v>
      </c>
      <c r="G8" s="13" t="n">
        <v>28</v>
      </c>
      <c r="H8" s="13" t="n">
        <v>30</v>
      </c>
      <c r="I8" s="13" t="n">
        <v>32</v>
      </c>
    </row>
    <row r="9" customFormat="false" ht="15" hidden="false" customHeight="false" outlineLevel="0" collapsed="false">
      <c r="A9" s="5" t="s">
        <v>30</v>
      </c>
      <c r="C9" s="14" t="n">
        <f aca="false">C7*C8</f>
        <v>6300</v>
      </c>
      <c r="D9" s="14" t="n">
        <f aca="false">D7*D8</f>
        <v>10000</v>
      </c>
      <c r="E9" s="14" t="n">
        <f aca="false">E7*E8</f>
        <v>15640</v>
      </c>
      <c r="F9" s="14" t="n">
        <f aca="false">F7*F8</f>
        <v>22360</v>
      </c>
      <c r="G9" s="14" t="n">
        <f aca="false">G7*G8</f>
        <v>28280</v>
      </c>
      <c r="H9" s="14" t="n">
        <f aca="false">H7*H8</f>
        <v>34500</v>
      </c>
      <c r="I9" s="14" t="n">
        <f aca="false">I7*I8</f>
        <v>41600</v>
      </c>
    </row>
    <row r="10" customFormat="false" ht="15" hidden="false" customHeight="false" outlineLevel="0" collapsed="false">
      <c r="A10" s="5" t="s">
        <v>31</v>
      </c>
      <c r="B10" s="15"/>
      <c r="C10" s="16" t="n">
        <v>3</v>
      </c>
      <c r="D10" s="17" t="n">
        <f aca="false">$C$10</f>
        <v>3</v>
      </c>
      <c r="E10" s="17" t="n">
        <f aca="false">$C$10</f>
        <v>3</v>
      </c>
      <c r="F10" s="17" t="n">
        <f aca="false">$C$10</f>
        <v>3</v>
      </c>
      <c r="G10" s="17" t="n">
        <f aca="false">$C$10</f>
        <v>3</v>
      </c>
      <c r="H10" s="17" t="n">
        <f aca="false">$C$10</f>
        <v>3</v>
      </c>
      <c r="I10" s="17" t="n">
        <f aca="false">$C$10</f>
        <v>3</v>
      </c>
    </row>
    <row r="11" customFormat="false" ht="15" hidden="false" customHeight="false" outlineLevel="0" collapsed="false">
      <c r="A11" s="5" t="s">
        <v>32</v>
      </c>
      <c r="C11" s="14" t="n">
        <f aca="false">C9*C10</f>
        <v>18900</v>
      </c>
      <c r="D11" s="14" t="n">
        <f aca="false">D9*D10</f>
        <v>30000</v>
      </c>
      <c r="E11" s="14" t="n">
        <f aca="false">E9*E10</f>
        <v>46920</v>
      </c>
      <c r="F11" s="14" t="n">
        <f aca="false">F9*F10</f>
        <v>67080</v>
      </c>
      <c r="G11" s="14" t="n">
        <f aca="false">G9*G10</f>
        <v>84840</v>
      </c>
      <c r="H11" s="14" t="n">
        <f aca="false">H9*H10</f>
        <v>103500</v>
      </c>
      <c r="I11" s="14" t="n">
        <f aca="false">I9*I10</f>
        <v>124800</v>
      </c>
    </row>
    <row r="13" customFormat="false" ht="15" hidden="false" customHeight="false" outlineLevel="0" collapsed="false">
      <c r="A13" s="10" t="s">
        <v>33</v>
      </c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5" t="s">
        <v>34</v>
      </c>
      <c r="C14" s="18" t="n">
        <v>0.001</v>
      </c>
      <c r="D14" s="18" t="n">
        <v>0.004</v>
      </c>
      <c r="E14" s="18" t="n">
        <v>0.01</v>
      </c>
      <c r="F14" s="18" t="n">
        <v>0.02</v>
      </c>
      <c r="G14" s="18" t="n">
        <v>0.03</v>
      </c>
      <c r="H14" s="18" t="n">
        <v>0.04</v>
      </c>
      <c r="I14" s="18" t="n">
        <v>0.05</v>
      </c>
    </row>
    <row r="15" customFormat="false" ht="15" hidden="false" customHeight="false" outlineLevel="0" collapsed="false">
      <c r="A15" s="5" t="s">
        <v>35</v>
      </c>
      <c r="C15" s="19" t="n">
        <f aca="false">C7*C14</f>
        <v>0.35</v>
      </c>
      <c r="D15" s="19" t="n">
        <f aca="false">D7*D14</f>
        <v>2</v>
      </c>
      <c r="E15" s="19" t="n">
        <f aca="false">E7*E14</f>
        <v>6.8</v>
      </c>
      <c r="F15" s="19" t="n">
        <f aca="false">F7*F14</f>
        <v>17.2</v>
      </c>
      <c r="G15" s="19" t="n">
        <f aca="false">G7*G14</f>
        <v>30.3</v>
      </c>
      <c r="H15" s="19" t="n">
        <f aca="false">H7*H14</f>
        <v>46</v>
      </c>
      <c r="I15" s="19" t="n">
        <f aca="false">I7*I14</f>
        <v>65</v>
      </c>
    </row>
    <row r="16" customFormat="false" ht="15" hidden="false" customHeight="false" outlineLevel="0" collapsed="false">
      <c r="A16" s="5" t="s">
        <v>36</v>
      </c>
      <c r="C16" s="14" t="n">
        <f aca="false">C15*C8</f>
        <v>6.3</v>
      </c>
      <c r="D16" s="14" t="n">
        <f aca="false">D15*D8</f>
        <v>40</v>
      </c>
      <c r="E16" s="14" t="n">
        <f aca="false">E15*E8</f>
        <v>156.4</v>
      </c>
      <c r="F16" s="14" t="n">
        <f aca="false">F15*F8</f>
        <v>447.2</v>
      </c>
      <c r="G16" s="14" t="n">
        <f aca="false">G15*G8</f>
        <v>848.4</v>
      </c>
      <c r="H16" s="14" t="n">
        <f aca="false">H15*H8</f>
        <v>1380</v>
      </c>
      <c r="I16" s="14" t="n">
        <f aca="false">I15*I8</f>
        <v>2080</v>
      </c>
    </row>
    <row r="17" customFormat="false" ht="15" hidden="false" customHeight="false" outlineLevel="0" collapsed="false">
      <c r="A17" s="5" t="s">
        <v>37</v>
      </c>
      <c r="C17" s="16" t="n">
        <v>2.5</v>
      </c>
      <c r="D17" s="17" t="n">
        <f aca="false">$C$17</f>
        <v>2.5</v>
      </c>
      <c r="E17" s="17" t="n">
        <f aca="false">$C$17</f>
        <v>2.5</v>
      </c>
      <c r="F17" s="17" t="n">
        <f aca="false">$C$17</f>
        <v>2.5</v>
      </c>
      <c r="G17" s="17" t="n">
        <f aca="false">$C$17</f>
        <v>2.5</v>
      </c>
      <c r="H17" s="17" t="n">
        <f aca="false">$C$17</f>
        <v>2.5</v>
      </c>
      <c r="I17" s="17" t="n">
        <f aca="false">$C$17</f>
        <v>2.5</v>
      </c>
    </row>
    <row r="18" customFormat="false" ht="15" hidden="false" customHeight="false" outlineLevel="0" collapsed="false">
      <c r="A18" s="5" t="s">
        <v>38</v>
      </c>
      <c r="C18" s="14" t="n">
        <f aca="false">C16*C17</f>
        <v>15.75</v>
      </c>
      <c r="D18" s="14" t="n">
        <f aca="false">D16*D17</f>
        <v>100</v>
      </c>
      <c r="E18" s="14" t="n">
        <f aca="false">E16*E17</f>
        <v>391</v>
      </c>
      <c r="F18" s="14" t="n">
        <f aca="false">F16*F17</f>
        <v>1118</v>
      </c>
      <c r="G18" s="14" t="n">
        <f aca="false">G16*G17</f>
        <v>2121</v>
      </c>
      <c r="H18" s="14" t="n">
        <f aca="false">H16*H17</f>
        <v>3450</v>
      </c>
      <c r="I18" s="14" t="n">
        <f aca="false">I16*I17</f>
        <v>5200</v>
      </c>
    </row>
    <row r="19" customFormat="false" ht="15" hidden="false" customHeight="false" outlineLevel="0" collapsed="false">
      <c r="A19" s="5" t="s">
        <v>39</v>
      </c>
      <c r="C19" s="12" t="n">
        <v>40</v>
      </c>
      <c r="D19" s="12" t="n">
        <v>150</v>
      </c>
      <c r="E19" s="12" t="n">
        <v>400</v>
      </c>
      <c r="F19" s="12" t="n">
        <v>800</v>
      </c>
      <c r="G19" s="12" t="n">
        <v>1400</v>
      </c>
      <c r="H19" s="12" t="n">
        <v>2200</v>
      </c>
      <c r="I19" s="12" t="n">
        <v>3200</v>
      </c>
    </row>
    <row r="20" customFormat="false" ht="15" hidden="false" customHeight="false" outlineLevel="0" collapsed="false">
      <c r="A20" s="5" t="s">
        <v>40</v>
      </c>
      <c r="C20" s="12" t="n">
        <v>50</v>
      </c>
      <c r="D20" s="12" t="n">
        <v>250</v>
      </c>
      <c r="E20" s="12" t="n">
        <v>600</v>
      </c>
      <c r="F20" s="12" t="n">
        <v>1100</v>
      </c>
      <c r="G20" s="12" t="n">
        <v>1700</v>
      </c>
      <c r="H20" s="12" t="n">
        <v>2200</v>
      </c>
      <c r="I20" s="12" t="n">
        <v>2500</v>
      </c>
    </row>
    <row r="21" customFormat="false" ht="15" hidden="false" customHeight="false" outlineLevel="0" collapsed="false">
      <c r="A21" s="5" t="s">
        <v>41</v>
      </c>
      <c r="C21" s="13" t="n">
        <v>20</v>
      </c>
      <c r="D21" s="13" t="n">
        <v>80</v>
      </c>
      <c r="E21" s="13" t="n">
        <v>200</v>
      </c>
      <c r="F21" s="13" t="n">
        <v>500</v>
      </c>
      <c r="G21" s="13" t="n">
        <v>900</v>
      </c>
      <c r="H21" s="13" t="n">
        <v>1300</v>
      </c>
      <c r="I21" s="13" t="n">
        <v>1600</v>
      </c>
    </row>
    <row r="23" customFormat="false" ht="15" hidden="false" customHeight="false" outlineLevel="0" collapsed="false">
      <c r="A23" s="10" t="s">
        <v>42</v>
      </c>
      <c r="C23" s="11"/>
      <c r="D23" s="11"/>
      <c r="E23" s="11"/>
      <c r="F23" s="11"/>
      <c r="G23" s="11"/>
      <c r="H23" s="11"/>
      <c r="I23" s="11"/>
    </row>
    <row r="24" customFormat="false" ht="15" hidden="false" customHeight="false" outlineLevel="0" collapsed="false">
      <c r="A24" s="5" t="s">
        <v>43</v>
      </c>
      <c r="C24" s="20" t="n">
        <v>45000</v>
      </c>
      <c r="D24" s="7" t="s">
        <v>44</v>
      </c>
    </row>
    <row r="25" customFormat="false" ht="15" hidden="false" customHeight="false" outlineLevel="0" collapsed="false">
      <c r="A25" s="5" t="s">
        <v>45</v>
      </c>
      <c r="C25" s="21" t="n">
        <v>0.02</v>
      </c>
      <c r="D25" s="7" t="s">
        <v>46</v>
      </c>
    </row>
    <row r="26" customFormat="false" ht="15" hidden="false" customHeight="false" outlineLevel="0" collapsed="false">
      <c r="A26" s="5" t="s">
        <v>47</v>
      </c>
      <c r="C26" s="21" t="n">
        <v>0.03</v>
      </c>
      <c r="D26" s="7" t="s">
        <v>48</v>
      </c>
    </row>
    <row r="27" customFormat="false" ht="15" hidden="false" customHeight="false" outlineLevel="0" collapsed="false">
      <c r="A27" s="5" t="s">
        <v>49</v>
      </c>
      <c r="C27" s="21" t="n">
        <v>0.025</v>
      </c>
      <c r="D27" s="7" t="s">
        <v>50</v>
      </c>
    </row>
    <row r="28" customFormat="false" ht="15" hidden="false" customHeight="false" outlineLevel="0" collapsed="false">
      <c r="A28" s="5" t="s">
        <v>51</v>
      </c>
      <c r="C28" s="20" t="n">
        <v>22000</v>
      </c>
      <c r="D28" s="7" t="s">
        <v>52</v>
      </c>
    </row>
    <row r="29" customFormat="false" ht="15" hidden="false" customHeight="false" outlineLevel="0" collapsed="false">
      <c r="A29" s="5" t="s">
        <v>53</v>
      </c>
      <c r="C29" s="21" t="n">
        <v>0.005</v>
      </c>
      <c r="D29" s="7" t="s">
        <v>54</v>
      </c>
    </row>
    <row r="31" customFormat="false" ht="15" hidden="false" customHeight="false" outlineLevel="0" collapsed="false">
      <c r="A31" s="10" t="s">
        <v>55</v>
      </c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5" t="s">
        <v>56</v>
      </c>
      <c r="C32" s="12" t="n">
        <v>35</v>
      </c>
      <c r="D32" s="12" t="n">
        <v>90</v>
      </c>
      <c r="E32" s="12" t="n">
        <v>180</v>
      </c>
      <c r="F32" s="12" t="n">
        <v>320</v>
      </c>
      <c r="G32" s="12" t="n">
        <v>460</v>
      </c>
      <c r="H32" s="12" t="n">
        <v>560</v>
      </c>
      <c r="I32" s="12" t="n">
        <v>650</v>
      </c>
    </row>
    <row r="33" customFormat="false" ht="15" hidden="false" customHeight="false" outlineLevel="0" collapsed="false">
      <c r="A33" s="5" t="s">
        <v>57</v>
      </c>
      <c r="C33" s="22" t="n">
        <v>165</v>
      </c>
      <c r="D33" s="7" t="s">
        <v>58</v>
      </c>
    </row>
    <row r="34" customFormat="false" ht="15" hidden="false" customHeight="false" outlineLevel="0" collapsed="false">
      <c r="A34" s="5" t="s">
        <v>59</v>
      </c>
      <c r="C34" s="13" t="n">
        <v>3</v>
      </c>
      <c r="D34" s="13" t="n">
        <v>10</v>
      </c>
      <c r="E34" s="13" t="n">
        <v>22</v>
      </c>
      <c r="F34" s="13" t="n">
        <v>38</v>
      </c>
      <c r="G34" s="13" t="n">
        <v>52</v>
      </c>
      <c r="H34" s="13" t="n">
        <v>62</v>
      </c>
      <c r="I34" s="13" t="n">
        <v>70</v>
      </c>
    </row>
    <row r="35" customFormat="false" ht="15" hidden="false" customHeight="false" outlineLevel="0" collapsed="false">
      <c r="A35" s="5" t="s">
        <v>60</v>
      </c>
      <c r="C35" s="13" t="n">
        <v>2</v>
      </c>
      <c r="D35" s="13" t="n">
        <v>5</v>
      </c>
      <c r="E35" s="13" t="n">
        <v>10</v>
      </c>
      <c r="F35" s="13" t="n">
        <v>18</v>
      </c>
      <c r="G35" s="13" t="n">
        <v>26</v>
      </c>
      <c r="H35" s="13" t="n">
        <v>34</v>
      </c>
      <c r="I35" s="13" t="n">
        <v>40</v>
      </c>
    </row>
    <row r="36" customFormat="false" ht="15" hidden="false" customHeight="false" outlineLevel="0" collapsed="false">
      <c r="A36" s="5" t="s">
        <v>61</v>
      </c>
      <c r="C36" s="18" t="n">
        <v>0.48</v>
      </c>
      <c r="D36" s="18" t="n">
        <v>0.42</v>
      </c>
      <c r="E36" s="18" t="n">
        <v>0.36</v>
      </c>
      <c r="F36" s="18" t="n">
        <v>0.3</v>
      </c>
      <c r="G36" s="18" t="n">
        <v>0.26</v>
      </c>
      <c r="H36" s="18" t="n">
        <v>0.24</v>
      </c>
      <c r="I36" s="18" t="n">
        <v>0.22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3" style="0" width="12"/>
  </cols>
  <sheetData>
    <row r="1" customFormat="false" ht="19.7" hidden="false" customHeight="false" outlineLevel="0" collapsed="false">
      <c r="A1" s="1" t="s">
        <v>62</v>
      </c>
    </row>
    <row r="2" customFormat="false" ht="15" hidden="false" customHeight="false" outlineLevel="0" collapsed="false">
      <c r="A2" s="4" t="s">
        <v>63</v>
      </c>
    </row>
    <row r="4" customFormat="false" ht="15" hidden="false" customHeight="false" outlineLevel="0" collapsed="false">
      <c r="A4" s="7" t="s">
        <v>19</v>
      </c>
      <c r="B4" s="8"/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9" t="s">
        <v>26</v>
      </c>
    </row>
    <row r="6" customFormat="false" ht="15" hidden="false" customHeight="false" outlineLevel="0" collapsed="false">
      <c r="A6" s="5" t="s">
        <v>64</v>
      </c>
      <c r="C6" s="23" t="n">
        <f aca="false">Assumptions!C19*Assumptions!$C$24/1000000</f>
        <v>1.8</v>
      </c>
      <c r="D6" s="23" t="n">
        <f aca="false">Assumptions!D19*Assumptions!$C$24/1000000</f>
        <v>6.75</v>
      </c>
      <c r="E6" s="23" t="n">
        <f aca="false">Assumptions!E19*Assumptions!$C$24/1000000</f>
        <v>18</v>
      </c>
      <c r="F6" s="23" t="n">
        <f aca="false">Assumptions!F19*Assumptions!$C$24/1000000</f>
        <v>36</v>
      </c>
      <c r="G6" s="23" t="n">
        <f aca="false">Assumptions!G19*Assumptions!$C$24/1000000</f>
        <v>63</v>
      </c>
      <c r="H6" s="23" t="n">
        <f aca="false">Assumptions!H19*Assumptions!$C$24/1000000</f>
        <v>99</v>
      </c>
      <c r="I6" s="23" t="n">
        <f aca="false">Assumptions!I19*Assumptions!$C$24/1000000</f>
        <v>144</v>
      </c>
    </row>
    <row r="7" customFormat="false" ht="15" hidden="false" customHeight="false" outlineLevel="0" collapsed="false">
      <c r="A7" s="5" t="s">
        <v>65</v>
      </c>
      <c r="C7" s="23" t="n">
        <f aca="false">Assumptions!C16*Assumptions!$C$25</f>
        <v>0.126</v>
      </c>
      <c r="D7" s="23" t="n">
        <f aca="false">Assumptions!D16*Assumptions!$C$25</f>
        <v>0.8</v>
      </c>
      <c r="E7" s="23" t="n">
        <f aca="false">Assumptions!E16*Assumptions!$C$25</f>
        <v>3.128</v>
      </c>
      <c r="F7" s="23" t="n">
        <f aca="false">Assumptions!F16*Assumptions!$C$25</f>
        <v>8.944</v>
      </c>
      <c r="G7" s="23" t="n">
        <f aca="false">Assumptions!G16*Assumptions!$C$25</f>
        <v>16.968</v>
      </c>
      <c r="H7" s="23" t="n">
        <f aca="false">Assumptions!H16*Assumptions!$C$25</f>
        <v>27.6</v>
      </c>
      <c r="I7" s="23" t="n">
        <f aca="false">Assumptions!I16*Assumptions!$C$25</f>
        <v>41.6</v>
      </c>
    </row>
    <row r="8" customFormat="false" ht="15" hidden="false" customHeight="false" outlineLevel="0" collapsed="false">
      <c r="A8" s="5" t="s">
        <v>66</v>
      </c>
      <c r="C8" s="23" t="n">
        <f aca="false">Assumptions!C18*Assumptions!$C$26</f>
        <v>0.4725</v>
      </c>
      <c r="D8" s="23" t="n">
        <f aca="false">Assumptions!D18*Assumptions!$C$26</f>
        <v>3</v>
      </c>
      <c r="E8" s="23" t="n">
        <f aca="false">Assumptions!E18*Assumptions!$C$26</f>
        <v>11.73</v>
      </c>
      <c r="F8" s="23" t="n">
        <f aca="false">Assumptions!F18*Assumptions!$C$26</f>
        <v>33.54</v>
      </c>
      <c r="G8" s="23" t="n">
        <f aca="false">Assumptions!G18*Assumptions!$C$26</f>
        <v>63.63</v>
      </c>
      <c r="H8" s="23" t="n">
        <f aca="false">Assumptions!H18*Assumptions!$C$26</f>
        <v>103.5</v>
      </c>
      <c r="I8" s="23" t="n">
        <f aca="false">Assumptions!I18*Assumptions!$C$26</f>
        <v>156</v>
      </c>
    </row>
    <row r="9" customFormat="false" ht="15" hidden="false" customHeight="false" outlineLevel="0" collapsed="false">
      <c r="A9" s="5" t="s">
        <v>67</v>
      </c>
      <c r="C9" s="23" t="n">
        <f aca="false">Assumptions!C21*Assumptions!$C$27</f>
        <v>0.5</v>
      </c>
      <c r="D9" s="23" t="n">
        <f aca="false">Assumptions!D21*Assumptions!$C$27</f>
        <v>2</v>
      </c>
      <c r="E9" s="23" t="n">
        <f aca="false">Assumptions!E21*Assumptions!$C$27</f>
        <v>5</v>
      </c>
      <c r="F9" s="23" t="n">
        <f aca="false">Assumptions!F21*Assumptions!$C$27</f>
        <v>12.5</v>
      </c>
      <c r="G9" s="23" t="n">
        <f aca="false">Assumptions!G21*Assumptions!$C$27</f>
        <v>22.5</v>
      </c>
      <c r="H9" s="23" t="n">
        <f aca="false">Assumptions!H21*Assumptions!$C$27</f>
        <v>32.5</v>
      </c>
      <c r="I9" s="23" t="n">
        <f aca="false">Assumptions!I21*Assumptions!$C$27</f>
        <v>40</v>
      </c>
    </row>
    <row r="10" customFormat="false" ht="15" hidden="false" customHeight="false" outlineLevel="0" collapsed="false">
      <c r="A10" s="5" t="s">
        <v>68</v>
      </c>
      <c r="C10" s="23" t="n">
        <f aca="false">Assumptions!C20*Assumptions!$C$28/1000000</f>
        <v>1.1</v>
      </c>
      <c r="D10" s="23" t="n">
        <f aca="false">Assumptions!D20*Assumptions!$C$28/1000000</f>
        <v>5.5</v>
      </c>
      <c r="E10" s="23" t="n">
        <f aca="false">Assumptions!E20*Assumptions!$C$28/1000000</f>
        <v>13.2</v>
      </c>
      <c r="F10" s="23" t="n">
        <f aca="false">Assumptions!F20*Assumptions!$C$28/1000000</f>
        <v>24.2</v>
      </c>
      <c r="G10" s="23" t="n">
        <f aca="false">Assumptions!G20*Assumptions!$C$28/1000000</f>
        <v>37.4</v>
      </c>
      <c r="H10" s="23" t="n">
        <f aca="false">Assumptions!H20*Assumptions!$C$28/1000000</f>
        <v>48.4</v>
      </c>
      <c r="I10" s="23" t="n">
        <f aca="false">Assumptions!I20*Assumptions!$C$28/1000000</f>
        <v>55</v>
      </c>
    </row>
    <row r="11" customFormat="false" ht="15" hidden="false" customHeight="false" outlineLevel="0" collapsed="false">
      <c r="A11" s="5" t="s">
        <v>69</v>
      </c>
      <c r="C11" s="23" t="n">
        <f aca="false">Assumptions!C16*Assumptions!$C$29</f>
        <v>0.0315</v>
      </c>
      <c r="D11" s="23" t="n">
        <f aca="false">Assumptions!D16*Assumptions!$C$29</f>
        <v>0.2</v>
      </c>
      <c r="E11" s="23" t="n">
        <f aca="false">Assumptions!E16*Assumptions!$C$29</f>
        <v>0.782</v>
      </c>
      <c r="F11" s="23" t="n">
        <f aca="false">Assumptions!F16*Assumptions!$C$29</f>
        <v>2.236</v>
      </c>
      <c r="G11" s="23" t="n">
        <f aca="false">Assumptions!G16*Assumptions!$C$29</f>
        <v>4.242</v>
      </c>
      <c r="H11" s="23" t="n">
        <f aca="false">Assumptions!H16*Assumptions!$C$29</f>
        <v>6.9</v>
      </c>
      <c r="I11" s="23" t="n">
        <f aca="false">Assumptions!I16*Assumptions!$C$29</f>
        <v>10.4</v>
      </c>
    </row>
    <row r="12" customFormat="false" ht="15" hidden="false" customHeight="false" outlineLevel="0" collapsed="false">
      <c r="A12" s="10" t="s">
        <v>70</v>
      </c>
      <c r="C12" s="24" t="n">
        <f aca="false">SUM(C6:C11)</f>
        <v>4.03</v>
      </c>
      <c r="D12" s="24" t="n">
        <f aca="false">SUM(D6:D11)</f>
        <v>18.25</v>
      </c>
      <c r="E12" s="24" t="n">
        <f aca="false">SUM(E6:E11)</f>
        <v>51.84</v>
      </c>
      <c r="F12" s="24" t="n">
        <f aca="false">SUM(F6:F11)</f>
        <v>117.42</v>
      </c>
      <c r="G12" s="24" t="n">
        <f aca="false">SUM(G6:G11)</f>
        <v>207.74</v>
      </c>
      <c r="H12" s="24" t="n">
        <f aca="false">SUM(H6:H11)</f>
        <v>317.9</v>
      </c>
      <c r="I12" s="24" t="n">
        <f aca="false">SUM(I6:I11)</f>
        <v>447</v>
      </c>
    </row>
    <row r="14" customFormat="false" ht="15" hidden="false" customHeight="false" outlineLevel="0" collapsed="false">
      <c r="A14" s="5" t="s">
        <v>71</v>
      </c>
      <c r="C14" s="25" t="s">
        <v>72</v>
      </c>
      <c r="D14" s="25" t="n">
        <f aca="false">IFERROR(D12/C12-1,"-")</f>
        <v>3.52853598014888</v>
      </c>
      <c r="E14" s="25" t="n">
        <f aca="false">IFERROR(E12/D12-1,"-")</f>
        <v>1.84054794520548</v>
      </c>
      <c r="F14" s="25" t="n">
        <f aca="false">IFERROR(F12/E12-1,"-")</f>
        <v>1.2650462962963</v>
      </c>
      <c r="G14" s="25" t="n">
        <f aca="false">IFERROR(G12/F12-1,"-")</f>
        <v>0.769204564810083</v>
      </c>
      <c r="H14" s="25" t="n">
        <f aca="false">IFERROR(H12/G12-1,"-")</f>
        <v>0.530278232405892</v>
      </c>
      <c r="I14" s="25" t="n">
        <f aca="false">IFERROR(I12/H12-1,"-")</f>
        <v>0.40610254797106</v>
      </c>
    </row>
    <row r="16" customFormat="false" ht="15" hidden="false" customHeight="false" outlineLevel="0" collapsed="false">
      <c r="A16" s="6" t="s">
        <v>73</v>
      </c>
    </row>
    <row r="17" customFormat="false" ht="15" hidden="false" customHeight="false" outlineLevel="0" collapsed="false">
      <c r="A17" s="5" t="s">
        <v>74</v>
      </c>
      <c r="C17" s="25" t="n">
        <f aca="false">C6/C12</f>
        <v>0.446650124069479</v>
      </c>
      <c r="D17" s="25" t="n">
        <f aca="false">D6/D12</f>
        <v>0.36986301369863</v>
      </c>
      <c r="E17" s="25" t="n">
        <f aca="false">E6/E12</f>
        <v>0.347222222222222</v>
      </c>
      <c r="F17" s="25" t="n">
        <f aca="false">F6/F12</f>
        <v>0.306591722023505</v>
      </c>
      <c r="G17" s="25" t="n">
        <f aca="false">G6/G12</f>
        <v>0.30326369500337</v>
      </c>
      <c r="H17" s="25" t="n">
        <f aca="false">H6/H12</f>
        <v>0.311418685121107</v>
      </c>
      <c r="I17" s="25" t="n">
        <f aca="false">I6/I12</f>
        <v>0.322147651006711</v>
      </c>
    </row>
    <row r="18" customFormat="false" ht="15" hidden="false" customHeight="false" outlineLevel="0" collapsed="false">
      <c r="A18" s="5" t="s">
        <v>75</v>
      </c>
      <c r="C18" s="25" t="n">
        <f aca="false">C7/C12</f>
        <v>0.0312655086848635</v>
      </c>
      <c r="D18" s="25" t="n">
        <f aca="false">D7/D12</f>
        <v>0.0438356164383562</v>
      </c>
      <c r="E18" s="25" t="n">
        <f aca="false">E7/E12</f>
        <v>0.0603395061728395</v>
      </c>
      <c r="F18" s="25" t="n">
        <f aca="false">F7/F12</f>
        <v>0.0761710100493953</v>
      </c>
      <c r="G18" s="25" t="n">
        <f aca="false">G7/G12</f>
        <v>0.0816790218542409</v>
      </c>
      <c r="H18" s="25" t="n">
        <f aca="false">H7/H12</f>
        <v>0.0868197546398239</v>
      </c>
      <c r="I18" s="25" t="n">
        <f aca="false">I7/I12</f>
        <v>0.0930648769574944</v>
      </c>
    </row>
    <row r="19" customFormat="false" ht="15" hidden="false" customHeight="false" outlineLevel="0" collapsed="false">
      <c r="A19" s="5" t="s">
        <v>76</v>
      </c>
      <c r="C19" s="25" t="n">
        <f aca="false">C8/C12</f>
        <v>0.117245657568238</v>
      </c>
      <c r="D19" s="25" t="n">
        <f aca="false">D8/D12</f>
        <v>0.164383561643836</v>
      </c>
      <c r="E19" s="25" t="n">
        <f aca="false">E8/E12</f>
        <v>0.226273148148148</v>
      </c>
      <c r="F19" s="25" t="n">
        <f aca="false">F8/F12</f>
        <v>0.285641287685233</v>
      </c>
      <c r="G19" s="25" t="n">
        <f aca="false">G8/G12</f>
        <v>0.306296331953403</v>
      </c>
      <c r="H19" s="25" t="n">
        <f aca="false">H8/H12</f>
        <v>0.325574079899339</v>
      </c>
      <c r="I19" s="25" t="n">
        <f aca="false">I8/I12</f>
        <v>0.348993288590604</v>
      </c>
    </row>
    <row r="20" customFormat="false" ht="15" hidden="false" customHeight="false" outlineLevel="0" collapsed="false">
      <c r="A20" s="5" t="s">
        <v>77</v>
      </c>
      <c r="C20" s="25" t="n">
        <f aca="false">C9/C12</f>
        <v>0.124069478908189</v>
      </c>
      <c r="D20" s="25" t="n">
        <f aca="false">D9/D12</f>
        <v>0.10958904109589</v>
      </c>
      <c r="E20" s="25" t="n">
        <f aca="false">E9/E12</f>
        <v>0.0964506172839506</v>
      </c>
      <c r="F20" s="25" t="n">
        <f aca="false">F9/F12</f>
        <v>0.106455459035939</v>
      </c>
      <c r="G20" s="25" t="n">
        <f aca="false">G9/G12</f>
        <v>0.108308462501203</v>
      </c>
      <c r="H20" s="25" t="n">
        <f aca="false">H9/H12</f>
        <v>0.102233406731677</v>
      </c>
      <c r="I20" s="25" t="n">
        <f aca="false">I9/I12</f>
        <v>0.0894854586129754</v>
      </c>
    </row>
    <row r="21" customFormat="false" ht="15" hidden="false" customHeight="false" outlineLevel="0" collapsed="false">
      <c r="A21" s="5" t="s">
        <v>78</v>
      </c>
      <c r="C21" s="25" t="n">
        <f aca="false">C10/C12</f>
        <v>0.272952853598015</v>
      </c>
      <c r="D21" s="25" t="n">
        <f aca="false">D10/D12</f>
        <v>0.301369863013699</v>
      </c>
      <c r="E21" s="25" t="n">
        <f aca="false">E10/E12</f>
        <v>0.25462962962963</v>
      </c>
      <c r="F21" s="25" t="n">
        <f aca="false">F10/F12</f>
        <v>0.206097768693579</v>
      </c>
      <c r="G21" s="25" t="n">
        <f aca="false">G10/G12</f>
        <v>0.180032733224223</v>
      </c>
      <c r="H21" s="25" t="n">
        <f aca="false">H10/H12</f>
        <v>0.152249134948097</v>
      </c>
      <c r="I21" s="25" t="n">
        <f aca="false">I10/I12</f>
        <v>0.123042505592841</v>
      </c>
    </row>
    <row r="22" customFormat="false" ht="15" hidden="false" customHeight="false" outlineLevel="0" collapsed="false">
      <c r="A22" s="5" t="s">
        <v>79</v>
      </c>
      <c r="C22" s="25" t="n">
        <f aca="false">C11/C12</f>
        <v>0.00781637717121588</v>
      </c>
      <c r="D22" s="25" t="n">
        <f aca="false">D11/D12</f>
        <v>0.010958904109589</v>
      </c>
      <c r="E22" s="25" t="n">
        <f aca="false">E11/E12</f>
        <v>0.0150848765432099</v>
      </c>
      <c r="F22" s="25" t="n">
        <f aca="false">F11/F12</f>
        <v>0.0190427525123488</v>
      </c>
      <c r="G22" s="25" t="n">
        <f aca="false">G11/G12</f>
        <v>0.0204197554635602</v>
      </c>
      <c r="H22" s="25" t="n">
        <f aca="false">H11/H12</f>
        <v>0.021704938659956</v>
      </c>
      <c r="I22" s="25" t="n">
        <f aca="false">I11/I12</f>
        <v>0.0232662192393736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3" style="0" width="12"/>
  </cols>
  <sheetData>
    <row r="1" customFormat="false" ht="19.7" hidden="false" customHeight="false" outlineLevel="0" collapsed="false">
      <c r="A1" s="1" t="s">
        <v>80</v>
      </c>
    </row>
    <row r="2" customFormat="false" ht="15" hidden="false" customHeight="false" outlineLevel="0" collapsed="false">
      <c r="A2" s="4" t="s">
        <v>81</v>
      </c>
    </row>
    <row r="4" customFormat="false" ht="15" hidden="false" customHeight="false" outlineLevel="0" collapsed="false">
      <c r="A4" s="7" t="s">
        <v>19</v>
      </c>
      <c r="B4" s="8"/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9" t="s">
        <v>26</v>
      </c>
    </row>
    <row r="6" customFormat="false" ht="15" hidden="false" customHeight="false" outlineLevel="0" collapsed="false">
      <c r="A6" s="6" t="s">
        <v>82</v>
      </c>
      <c r="C6" s="23" t="n">
        <f aca="false">'Revenue Build'!C12</f>
        <v>4.03</v>
      </c>
      <c r="D6" s="23" t="n">
        <f aca="false">'Revenue Build'!D12</f>
        <v>18.25</v>
      </c>
      <c r="E6" s="23" t="n">
        <f aca="false">'Revenue Build'!E12</f>
        <v>51.84</v>
      </c>
      <c r="F6" s="23" t="n">
        <f aca="false">'Revenue Build'!F12</f>
        <v>117.42</v>
      </c>
      <c r="G6" s="23" t="n">
        <f aca="false">'Revenue Build'!G12</f>
        <v>207.74</v>
      </c>
      <c r="H6" s="23" t="n">
        <f aca="false">'Revenue Build'!H12</f>
        <v>317.9</v>
      </c>
      <c r="I6" s="23" t="n">
        <f aca="false">'Revenue Build'!I12</f>
        <v>447</v>
      </c>
    </row>
    <row r="7" customFormat="false" ht="15" hidden="false" customHeight="false" outlineLevel="0" collapsed="false">
      <c r="A7" s="5" t="s">
        <v>83</v>
      </c>
      <c r="C7" s="14" t="n">
        <f aca="false">-C6*Assumptions!C36</f>
        <v>-1.9344</v>
      </c>
      <c r="D7" s="14" t="n">
        <f aca="false">-D6*Assumptions!D36</f>
        <v>-7.665</v>
      </c>
      <c r="E7" s="14" t="n">
        <f aca="false">-E6*Assumptions!E36</f>
        <v>-18.6624</v>
      </c>
      <c r="F7" s="14" t="n">
        <f aca="false">-F6*Assumptions!F36</f>
        <v>-35.226</v>
      </c>
      <c r="G7" s="14" t="n">
        <f aca="false">-G6*Assumptions!G36</f>
        <v>-54.0124</v>
      </c>
      <c r="H7" s="14" t="n">
        <f aca="false">-H6*Assumptions!H36</f>
        <v>-76.296</v>
      </c>
      <c r="I7" s="14" t="n">
        <f aca="false">-I6*Assumptions!I36</f>
        <v>-98.34</v>
      </c>
    </row>
    <row r="8" customFormat="false" ht="15" hidden="false" customHeight="false" outlineLevel="0" collapsed="false">
      <c r="A8" s="10" t="s">
        <v>84</v>
      </c>
      <c r="C8" s="26" t="n">
        <f aca="false">C6+C7</f>
        <v>2.0956</v>
      </c>
      <c r="D8" s="26" t="n">
        <f aca="false">D6+D7</f>
        <v>10.585</v>
      </c>
      <c r="E8" s="26" t="n">
        <f aca="false">E6+E7</f>
        <v>33.1776</v>
      </c>
      <c r="F8" s="26" t="n">
        <f aca="false">F6+F7</f>
        <v>82.194</v>
      </c>
      <c r="G8" s="26" t="n">
        <f aca="false">G6+G7</f>
        <v>153.7276</v>
      </c>
      <c r="H8" s="26" t="n">
        <f aca="false">H6+H7</f>
        <v>241.604</v>
      </c>
      <c r="I8" s="26" t="n">
        <f aca="false">I6+I7</f>
        <v>348.66</v>
      </c>
    </row>
    <row r="9" customFormat="false" ht="15" hidden="false" customHeight="false" outlineLevel="0" collapsed="false">
      <c r="A9" s="5" t="s">
        <v>85</v>
      </c>
      <c r="C9" s="25" t="n">
        <f aca="false">C8/C6</f>
        <v>0.52</v>
      </c>
      <c r="D9" s="25" t="n">
        <f aca="false">D8/D6</f>
        <v>0.58</v>
      </c>
      <c r="E9" s="25" t="n">
        <f aca="false">E8/E6</f>
        <v>0.64</v>
      </c>
      <c r="F9" s="25" t="n">
        <f aca="false">F8/F6</f>
        <v>0.7</v>
      </c>
      <c r="G9" s="25" t="n">
        <f aca="false">G8/G6</f>
        <v>0.74</v>
      </c>
      <c r="H9" s="25" t="n">
        <f aca="false">H8/H6</f>
        <v>0.76</v>
      </c>
      <c r="I9" s="25" t="n">
        <f aca="false">I8/I6</f>
        <v>0.78</v>
      </c>
    </row>
    <row r="11" customFormat="false" ht="15" hidden="false" customHeight="false" outlineLevel="0" collapsed="false">
      <c r="A11" s="6" t="s">
        <v>86</v>
      </c>
    </row>
    <row r="12" customFormat="false" ht="15" hidden="false" customHeight="false" outlineLevel="0" collapsed="false">
      <c r="A12" s="5" t="s">
        <v>87</v>
      </c>
      <c r="C12" s="14" t="n">
        <f aca="false">-Assumptions!C32*Assumptions!$C$33/1000</f>
        <v>-5.775</v>
      </c>
      <c r="D12" s="14" t="n">
        <f aca="false">-Assumptions!D32*Assumptions!$C$33/1000</f>
        <v>-14.85</v>
      </c>
      <c r="E12" s="14" t="n">
        <f aca="false">-Assumptions!E32*Assumptions!$C$33/1000</f>
        <v>-29.7</v>
      </c>
      <c r="F12" s="14" t="n">
        <f aca="false">-Assumptions!F32*Assumptions!$C$33/1000</f>
        <v>-52.8</v>
      </c>
      <c r="G12" s="14" t="n">
        <f aca="false">-Assumptions!G32*Assumptions!$C$33/1000</f>
        <v>-75.9</v>
      </c>
      <c r="H12" s="14" t="n">
        <f aca="false">-Assumptions!H32*Assumptions!$C$33/1000</f>
        <v>-92.4</v>
      </c>
      <c r="I12" s="14" t="n">
        <f aca="false">-Assumptions!I32*Assumptions!$C$33/1000</f>
        <v>-107.25</v>
      </c>
    </row>
    <row r="13" customFormat="false" ht="15" hidden="false" customHeight="false" outlineLevel="0" collapsed="false">
      <c r="A13" s="5" t="s">
        <v>88</v>
      </c>
      <c r="C13" s="14" t="n">
        <f aca="false">-Assumptions!C34</f>
        <v>-3</v>
      </c>
      <c r="D13" s="14" t="n">
        <f aca="false">-Assumptions!D34</f>
        <v>-10</v>
      </c>
      <c r="E13" s="14" t="n">
        <f aca="false">-Assumptions!E34</f>
        <v>-22</v>
      </c>
      <c r="F13" s="14" t="n">
        <f aca="false">-Assumptions!F34</f>
        <v>-38</v>
      </c>
      <c r="G13" s="14" t="n">
        <f aca="false">-Assumptions!G34</f>
        <v>-52</v>
      </c>
      <c r="H13" s="14" t="n">
        <f aca="false">-Assumptions!H34</f>
        <v>-62</v>
      </c>
      <c r="I13" s="14" t="n">
        <f aca="false">-Assumptions!I34</f>
        <v>-70</v>
      </c>
    </row>
    <row r="14" customFormat="false" ht="15" hidden="false" customHeight="false" outlineLevel="0" collapsed="false">
      <c r="A14" s="5" t="s">
        <v>89</v>
      </c>
      <c r="C14" s="14" t="n">
        <f aca="false">-Assumptions!C35</f>
        <v>-2</v>
      </c>
      <c r="D14" s="14" t="n">
        <f aca="false">-Assumptions!D35</f>
        <v>-5</v>
      </c>
      <c r="E14" s="14" t="n">
        <f aca="false">-Assumptions!E35</f>
        <v>-10</v>
      </c>
      <c r="F14" s="14" t="n">
        <f aca="false">-Assumptions!F35</f>
        <v>-18</v>
      </c>
      <c r="G14" s="14" t="n">
        <f aca="false">-Assumptions!G35</f>
        <v>-26</v>
      </c>
      <c r="H14" s="14" t="n">
        <f aca="false">-Assumptions!H35</f>
        <v>-34</v>
      </c>
      <c r="I14" s="14" t="n">
        <f aca="false">-Assumptions!I35</f>
        <v>-40</v>
      </c>
    </row>
    <row r="15" customFormat="false" ht="15" hidden="false" customHeight="false" outlineLevel="0" collapsed="false">
      <c r="A15" s="6" t="s">
        <v>90</v>
      </c>
      <c r="C15" s="27" t="n">
        <f aca="false">SUM(C12:C14)</f>
        <v>-10.775</v>
      </c>
      <c r="D15" s="27" t="n">
        <f aca="false">SUM(D12:D14)</f>
        <v>-29.85</v>
      </c>
      <c r="E15" s="27" t="n">
        <f aca="false">SUM(E12:E14)</f>
        <v>-61.7</v>
      </c>
      <c r="F15" s="27" t="n">
        <f aca="false">SUM(F12:F14)</f>
        <v>-108.8</v>
      </c>
      <c r="G15" s="27" t="n">
        <f aca="false">SUM(G12:G14)</f>
        <v>-153.9</v>
      </c>
      <c r="H15" s="27" t="n">
        <f aca="false">SUM(H12:H14)</f>
        <v>-188.4</v>
      </c>
      <c r="I15" s="27" t="n">
        <f aca="false">SUM(I12:I14)</f>
        <v>-217.25</v>
      </c>
    </row>
    <row r="16" customFormat="false" ht="15" hidden="false" customHeight="false" outlineLevel="0" collapsed="false">
      <c r="A16" s="28" t="s">
        <v>91</v>
      </c>
      <c r="C16" s="29" t="n">
        <f aca="false">C8+C15</f>
        <v>-8.6794</v>
      </c>
      <c r="D16" s="29" t="n">
        <f aca="false">D8+D15</f>
        <v>-19.265</v>
      </c>
      <c r="E16" s="29" t="n">
        <f aca="false">E8+E15</f>
        <v>-28.5224</v>
      </c>
      <c r="F16" s="29" t="n">
        <f aca="false">F8+F15</f>
        <v>-26.606</v>
      </c>
      <c r="G16" s="29" t="n">
        <f aca="false">G8+G15</f>
        <v>-0.17240000000001</v>
      </c>
      <c r="H16" s="29" t="n">
        <f aca="false">H8+H15</f>
        <v>53.204</v>
      </c>
      <c r="I16" s="29" t="n">
        <f aca="false">I8+I15</f>
        <v>131.41</v>
      </c>
    </row>
    <row r="17" customFormat="false" ht="15" hidden="false" customHeight="false" outlineLevel="0" collapsed="false">
      <c r="A17" s="5" t="s">
        <v>92</v>
      </c>
      <c r="C17" s="25" t="n">
        <f aca="false">C16/C6</f>
        <v>-2.15369727047146</v>
      </c>
      <c r="D17" s="25" t="n">
        <f aca="false">D16/D6</f>
        <v>-1.05561643835616</v>
      </c>
      <c r="E17" s="25" t="n">
        <f aca="false">E16/E6</f>
        <v>-0.550200617283951</v>
      </c>
      <c r="F17" s="25" t="n">
        <f aca="false">F16/F6</f>
        <v>-0.226588315448816</v>
      </c>
      <c r="G17" s="25" t="n">
        <f aca="false">G16/G6</f>
        <v>-0.000829883508231493</v>
      </c>
      <c r="H17" s="25" t="n">
        <f aca="false">H16/H6</f>
        <v>0.167360805284681</v>
      </c>
      <c r="I17" s="25" t="n">
        <f aca="false">I16/I6</f>
        <v>0.293982102908277</v>
      </c>
    </row>
    <row r="19" customFormat="false" ht="15" hidden="false" customHeight="false" outlineLevel="0" collapsed="false">
      <c r="A19" s="5" t="s">
        <v>93</v>
      </c>
      <c r="C19" s="30" t="n">
        <f aca="false">Assumptions!C32</f>
        <v>35</v>
      </c>
      <c r="D19" s="30" t="n">
        <f aca="false">Assumptions!D32</f>
        <v>90</v>
      </c>
      <c r="E19" s="30" t="n">
        <f aca="false">Assumptions!E32</f>
        <v>180</v>
      </c>
      <c r="F19" s="30" t="n">
        <f aca="false">Assumptions!F32</f>
        <v>320</v>
      </c>
      <c r="G19" s="30" t="n">
        <f aca="false">Assumptions!G32</f>
        <v>460</v>
      </c>
      <c r="H19" s="30" t="n">
        <f aca="false">Assumptions!H32</f>
        <v>560</v>
      </c>
      <c r="I19" s="30" t="n">
        <f aca="false">Assumptions!I32</f>
        <v>650</v>
      </c>
    </row>
    <row r="20" customFormat="false" ht="15" hidden="false" customHeight="false" outlineLevel="0" collapsed="false">
      <c r="A20" s="5" t="s">
        <v>94</v>
      </c>
      <c r="C20" s="31" t="n">
        <f aca="false">C6*1000/Assumptions!C32</f>
        <v>115.142857142857</v>
      </c>
      <c r="D20" s="31" t="n">
        <f aca="false">D6*1000/Assumptions!D32</f>
        <v>202.777777777778</v>
      </c>
      <c r="E20" s="31" t="n">
        <f aca="false">E6*1000/Assumptions!E32</f>
        <v>288</v>
      </c>
      <c r="F20" s="31" t="n">
        <f aca="false">F6*1000/Assumptions!F32</f>
        <v>366.9375</v>
      </c>
      <c r="G20" s="31" t="n">
        <f aca="false">G6*1000/Assumptions!G32</f>
        <v>451.608695652174</v>
      </c>
      <c r="H20" s="31" t="n">
        <f aca="false">H6*1000/Assumptions!H32</f>
        <v>567.678571428571</v>
      </c>
      <c r="I20" s="31" t="n">
        <f aca="false">I6*1000/Assumptions!I32</f>
        <v>687.692307692308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95</v>
      </c>
    </row>
    <row r="2" customFormat="false" ht="15" hidden="false" customHeight="false" outlineLevel="0" collapsed="false">
      <c r="A2" s="4" t="s">
        <v>96</v>
      </c>
    </row>
    <row r="4" customFormat="false" ht="15" hidden="false" customHeight="false" outlineLevel="0" collapsed="false">
      <c r="A4" s="32" t="s">
        <v>97</v>
      </c>
      <c r="B4" s="32" t="s">
        <v>98</v>
      </c>
      <c r="C4" s="32" t="s">
        <v>99</v>
      </c>
    </row>
    <row r="5" customFormat="false" ht="15" hidden="false" customHeight="false" outlineLevel="0" collapsed="false">
      <c r="A5" s="0" t="s">
        <v>100</v>
      </c>
      <c r="B5" s="23" t="n">
        <f aca="false">Assumptions!I9</f>
        <v>41600</v>
      </c>
      <c r="C5" s="0" t="s">
        <v>101</v>
      </c>
    </row>
    <row r="6" customFormat="false" ht="15" hidden="false" customHeight="false" outlineLevel="0" collapsed="false">
      <c r="A6" s="0" t="s">
        <v>102</v>
      </c>
      <c r="B6" s="23" t="n">
        <f aca="false">Assumptions!I11</f>
        <v>124800</v>
      </c>
      <c r="C6" s="0" t="s">
        <v>103</v>
      </c>
    </row>
    <row r="7" customFormat="false" ht="15" hidden="false" customHeight="false" outlineLevel="0" collapsed="false">
      <c r="A7" s="0" t="s">
        <v>104</v>
      </c>
      <c r="B7" s="14" t="n">
        <f aca="false">Assumptions!I21/0.05</f>
        <v>32000</v>
      </c>
      <c r="C7" s="0" t="s">
        <v>105</v>
      </c>
    </row>
    <row r="9" customFormat="false" ht="15" hidden="false" customHeight="false" outlineLevel="0" collapsed="false">
      <c r="A9" s="10" t="s">
        <v>106</v>
      </c>
      <c r="B9" s="26" t="n">
        <f aca="false">'P&amp;L'!I6/Assumptions!I14</f>
        <v>8940</v>
      </c>
      <c r="C9" s="0" t="s">
        <v>107</v>
      </c>
    </row>
    <row r="10" customFormat="false" ht="15" hidden="false" customHeight="false" outlineLevel="0" collapsed="false">
      <c r="A10" s="0" t="s">
        <v>108</v>
      </c>
      <c r="B10" s="14" t="n">
        <f aca="false">B9*0.6</f>
        <v>5364</v>
      </c>
      <c r="C10" s="0" t="s">
        <v>109</v>
      </c>
    </row>
    <row r="11" customFormat="false" ht="15" hidden="false" customHeight="false" outlineLevel="0" collapsed="false">
      <c r="A11" s="32" t="s">
        <v>110</v>
      </c>
      <c r="B11" s="29" t="n">
        <f aca="false">'P&amp;L'!I6</f>
        <v>447</v>
      </c>
      <c r="C11" s="0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9.7" hidden="false" customHeight="false" outlineLevel="0" collapsed="false">
      <c r="A1" s="1" t="s">
        <v>112</v>
      </c>
    </row>
    <row r="2" customFormat="false" ht="15" hidden="false" customHeight="false" outlineLevel="0" collapsed="false">
      <c r="A2" s="4" t="s">
        <v>113</v>
      </c>
    </row>
    <row r="4" customFormat="false" ht="15" hidden="false" customHeight="false" outlineLevel="0" collapsed="false">
      <c r="A4" s="32" t="s">
        <v>97</v>
      </c>
      <c r="B4" s="32" t="s">
        <v>98</v>
      </c>
      <c r="C4" s="32" t="s">
        <v>114</v>
      </c>
    </row>
    <row r="5" customFormat="false" ht="15" hidden="false" customHeight="false" outlineLevel="0" collapsed="false">
      <c r="A5" s="0" t="s">
        <v>115</v>
      </c>
      <c r="B5" s="14" t="n">
        <f aca="false">Assumptions!C24</f>
        <v>45000</v>
      </c>
      <c r="C5" s="7" t="s">
        <v>116</v>
      </c>
    </row>
    <row r="6" customFormat="false" ht="15" hidden="false" customHeight="false" outlineLevel="0" collapsed="false">
      <c r="A6" s="0" t="s">
        <v>117</v>
      </c>
      <c r="B6" s="18" t="n">
        <v>0.78</v>
      </c>
      <c r="C6" s="7" t="s">
        <v>118</v>
      </c>
    </row>
    <row r="7" customFormat="false" ht="15" hidden="false" customHeight="false" outlineLevel="0" collapsed="false">
      <c r="A7" s="0" t="s">
        <v>119</v>
      </c>
      <c r="B7" s="14" t="n">
        <f aca="false">B5*B6</f>
        <v>35100</v>
      </c>
      <c r="C7" s="7" t="s">
        <v>120</v>
      </c>
    </row>
    <row r="8" customFormat="false" ht="15" hidden="false" customHeight="false" outlineLevel="0" collapsed="false">
      <c r="A8" s="0" t="s">
        <v>121</v>
      </c>
      <c r="B8" s="18" t="n">
        <v>0.12</v>
      </c>
      <c r="C8" s="7" t="s">
        <v>122</v>
      </c>
    </row>
    <row r="9" customFormat="false" ht="15" hidden="false" customHeight="false" outlineLevel="0" collapsed="false">
      <c r="A9" s="0" t="s">
        <v>123</v>
      </c>
      <c r="B9" s="33" t="n">
        <f aca="false">1/B8</f>
        <v>8.33333333333333</v>
      </c>
      <c r="C9" s="7" t="s">
        <v>124</v>
      </c>
    </row>
    <row r="10" customFormat="false" ht="15" hidden="false" customHeight="false" outlineLevel="0" collapsed="false">
      <c r="A10" s="0" t="s">
        <v>125</v>
      </c>
      <c r="B10" s="14" t="n">
        <f aca="false">B7*B9</f>
        <v>292500</v>
      </c>
      <c r="C10" s="7" t="s">
        <v>126</v>
      </c>
    </row>
    <row r="11" customFormat="false" ht="15" hidden="false" customHeight="false" outlineLevel="0" collapsed="false">
      <c r="A11" s="0" t="s">
        <v>127</v>
      </c>
      <c r="B11" s="13" t="n">
        <v>28000</v>
      </c>
      <c r="C11" s="7" t="s">
        <v>128</v>
      </c>
    </row>
    <row r="12" customFormat="false" ht="15" hidden="false" customHeight="false" outlineLevel="0" collapsed="false">
      <c r="A12" s="0" t="s">
        <v>129</v>
      </c>
      <c r="B12" s="17" t="n">
        <f aca="false">B10/B11</f>
        <v>10.4464285714286</v>
      </c>
      <c r="C12" s="7" t="s">
        <v>130</v>
      </c>
    </row>
    <row r="13" customFormat="false" ht="15" hidden="false" customHeight="false" outlineLevel="0" collapsed="false">
      <c r="A13" s="0" t="s">
        <v>131</v>
      </c>
      <c r="B13" s="33" t="n">
        <f aca="false">B11/(B7/12)</f>
        <v>9.57264957264957</v>
      </c>
      <c r="C13" s="7" t="s">
        <v>132</v>
      </c>
    </row>
    <row r="14" customFormat="false" ht="15" hidden="false" customHeight="false" outlineLevel="0" collapsed="false">
      <c r="A14" s="0" t="s">
        <v>133</v>
      </c>
      <c r="B14" s="18" t="n">
        <v>1.2</v>
      </c>
      <c r="C14" s="7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135</v>
      </c>
    </row>
    <row r="2" customFormat="false" ht="15" hidden="false" customHeight="false" outlineLevel="0" collapsed="false">
      <c r="A2" s="4" t="s">
        <v>136</v>
      </c>
    </row>
    <row r="4" customFormat="false" ht="15" hidden="false" customHeight="false" outlineLevel="0" collapsed="false">
      <c r="A4" s="32" t="s">
        <v>137</v>
      </c>
      <c r="B4" s="32" t="s">
        <v>138</v>
      </c>
      <c r="C4" s="32" t="s">
        <v>139</v>
      </c>
    </row>
    <row r="5" customFormat="false" ht="15" hidden="false" customHeight="false" outlineLevel="0" collapsed="false">
      <c r="A5" s="0" t="s">
        <v>140</v>
      </c>
      <c r="B5" s="16" t="n">
        <v>14.8</v>
      </c>
      <c r="C5" s="7" t="s">
        <v>141</v>
      </c>
    </row>
    <row r="6" customFormat="false" ht="15" hidden="false" customHeight="false" outlineLevel="0" collapsed="false">
      <c r="A6" s="0" t="s">
        <v>142</v>
      </c>
      <c r="B6" s="16" t="n">
        <v>6.5</v>
      </c>
      <c r="C6" s="7" t="s">
        <v>143</v>
      </c>
    </row>
    <row r="7" customFormat="false" ht="15" hidden="false" customHeight="false" outlineLevel="0" collapsed="false">
      <c r="A7" s="0" t="s">
        <v>144</v>
      </c>
      <c r="B7" s="16" t="n">
        <v>7.5</v>
      </c>
      <c r="C7" s="7" t="s">
        <v>145</v>
      </c>
    </row>
    <row r="8" customFormat="false" ht="15" hidden="false" customHeight="false" outlineLevel="0" collapsed="false">
      <c r="A8" s="0" t="s">
        <v>146</v>
      </c>
      <c r="B8" s="34" t="n">
        <v>1.45</v>
      </c>
      <c r="C8" s="7" t="s">
        <v>147</v>
      </c>
    </row>
    <row r="10" customFormat="false" ht="15" hidden="false" customHeight="false" outlineLevel="0" collapsed="false">
      <c r="A10" s="0" t="s">
        <v>148</v>
      </c>
      <c r="B10" s="23" t="n">
        <f aca="false">'P&amp;L'!I6</f>
        <v>447</v>
      </c>
    </row>
    <row r="11" customFormat="false" ht="15" hidden="false" customHeight="false" outlineLevel="0" collapsed="false">
      <c r="A11" s="0" t="s">
        <v>149</v>
      </c>
      <c r="B11" s="23" t="n">
        <f aca="false">'P&amp;L'!I16</f>
        <v>131.41</v>
      </c>
    </row>
    <row r="13" customFormat="false" ht="15" hidden="false" customHeight="false" outlineLevel="0" collapsed="false">
      <c r="A13" s="6" t="s">
        <v>150</v>
      </c>
      <c r="B13" s="6" t="s">
        <v>151</v>
      </c>
      <c r="C13" s="6" t="s">
        <v>152</v>
      </c>
      <c r="D13" s="6" t="s">
        <v>153</v>
      </c>
    </row>
    <row r="14" customFormat="false" ht="15" hidden="false" customHeight="false" outlineLevel="0" collapsed="false">
      <c r="A14" s="0" t="s">
        <v>154</v>
      </c>
      <c r="B14" s="16" t="n">
        <v>6</v>
      </c>
      <c r="C14" s="16" t="n">
        <v>9</v>
      </c>
      <c r="D14" s="16" t="n">
        <v>12</v>
      </c>
    </row>
    <row r="15" customFormat="false" ht="15" hidden="false" customHeight="false" outlineLevel="0" collapsed="false">
      <c r="A15" s="6" t="s">
        <v>155</v>
      </c>
      <c r="B15" s="29" t="n">
        <f aca="false">B14*B10</f>
        <v>2682</v>
      </c>
      <c r="C15" s="29" t="n">
        <f aca="false">C14*B10</f>
        <v>4023</v>
      </c>
      <c r="D15" s="29" t="n">
        <f aca="false">D14*B10</f>
        <v>5364</v>
      </c>
    </row>
    <row r="17" customFormat="false" ht="15" hidden="false" customHeight="false" outlineLevel="0" collapsed="false">
      <c r="A17" s="4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157</v>
      </c>
    </row>
    <row r="2" customFormat="false" ht="15" hidden="false" customHeight="false" outlineLevel="0" collapsed="false">
      <c r="A2" s="4" t="s">
        <v>158</v>
      </c>
    </row>
    <row r="4" customFormat="false" ht="15" hidden="false" customHeight="false" outlineLevel="0" collapsed="false">
      <c r="A4" s="32" t="s">
        <v>159</v>
      </c>
      <c r="B4" s="32" t="s">
        <v>160</v>
      </c>
      <c r="C4" s="32" t="s">
        <v>161</v>
      </c>
      <c r="D4" s="32" t="s">
        <v>162</v>
      </c>
    </row>
    <row r="5" customFormat="false" ht="15" hidden="false" customHeight="false" outlineLevel="0" collapsed="false">
      <c r="A5" s="0" t="s">
        <v>163</v>
      </c>
      <c r="B5" s="18" t="n">
        <v>0.025</v>
      </c>
      <c r="C5" s="18" t="n">
        <v>0.05</v>
      </c>
      <c r="D5" s="18" t="n">
        <v>0.08</v>
      </c>
    </row>
    <row r="6" customFormat="false" ht="15" hidden="false" customHeight="false" outlineLevel="0" collapsed="false">
      <c r="A6" s="6" t="s">
        <v>148</v>
      </c>
      <c r="B6" s="14" t="n">
        <f aca="false">'P&amp;L'!I6*B5/Assumptions!I14</f>
        <v>223.5</v>
      </c>
      <c r="C6" s="14" t="n">
        <f aca="false">'P&amp;L'!I6*C5/Assumptions!I14</f>
        <v>447</v>
      </c>
      <c r="D6" s="14" t="n">
        <f aca="false">'P&amp;L'!I6*D5/Assumptions!I14</f>
        <v>715.2</v>
      </c>
    </row>
    <row r="7" customFormat="false" ht="15" hidden="false" customHeight="false" outlineLevel="0" collapsed="false">
      <c r="A7" s="6" t="s">
        <v>164</v>
      </c>
      <c r="B7" s="29" t="n">
        <f aca="false">B6*9</f>
        <v>2011.5</v>
      </c>
      <c r="C7" s="29" t="n">
        <f aca="false">C6*9</f>
        <v>4023</v>
      </c>
      <c r="D7" s="29" t="n">
        <f aca="false">D6*9</f>
        <v>6436.8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165</v>
      </c>
    </row>
    <row r="2" customFormat="false" ht="15" hidden="false" customHeight="false" outlineLevel="0" collapsed="false">
      <c r="A2" s="32" t="s">
        <v>166</v>
      </c>
      <c r="B2" s="32" t="s">
        <v>139</v>
      </c>
    </row>
    <row r="3" customFormat="false" ht="15" hidden="false" customHeight="false" outlineLevel="0" collapsed="false">
      <c r="A3" s="6" t="s">
        <v>167</v>
      </c>
      <c r="B3" s="5" t="s">
        <v>168</v>
      </c>
    </row>
    <row r="4" customFormat="false" ht="15" hidden="false" customHeight="false" outlineLevel="0" collapsed="false">
      <c r="A4" s="6" t="s">
        <v>169</v>
      </c>
      <c r="B4" s="5" t="s">
        <v>170</v>
      </c>
    </row>
    <row r="5" customFormat="false" ht="15" hidden="false" customHeight="false" outlineLevel="0" collapsed="false">
      <c r="A5" s="6" t="s">
        <v>171</v>
      </c>
      <c r="B5" s="5" t="s">
        <v>172</v>
      </c>
    </row>
    <row r="6" customFormat="false" ht="15" hidden="false" customHeight="false" outlineLevel="0" collapsed="false">
      <c r="A6" s="6" t="s">
        <v>173</v>
      </c>
      <c r="B6" s="5" t="s">
        <v>174</v>
      </c>
    </row>
    <row r="7" customFormat="false" ht="15" hidden="false" customHeight="false" outlineLevel="0" collapsed="false">
      <c r="A7" s="6" t="s">
        <v>175</v>
      </c>
      <c r="B7" s="5" t="s">
        <v>176</v>
      </c>
    </row>
    <row r="8" customFormat="false" ht="15" hidden="false" customHeight="false" outlineLevel="0" collapsed="false">
      <c r="A8" s="6" t="s">
        <v>177</v>
      </c>
      <c r="B8" s="5" t="s">
        <v>178</v>
      </c>
    </row>
    <row r="9" customFormat="false" ht="15" hidden="false" customHeight="false" outlineLevel="0" collapsed="false">
      <c r="A9" s="6" t="s">
        <v>179</v>
      </c>
      <c r="B9" s="5" t="s">
        <v>180</v>
      </c>
    </row>
    <row r="11" customFormat="false" ht="15" hidden="false" customHeight="false" outlineLevel="0" collapsed="false">
      <c r="A11" s="4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2026-06-08T13:29:57Z</dcterms:created>
  <dc:creator>openpyxl</dc:creator>
  <dc:description/>
  <dc:language>en-US</dc:language>
  <cp:lastModifiedBy/>
  <dcterms:modified xsi:type="dcterms:W3CDTF">2026-06-08T13:29:57Z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